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 activeTab="2"/>
  </bookViews>
  <sheets>
    <sheet name="Guide" sheetId="1" r:id="rId1"/>
    <sheet name="Review" sheetId="2" r:id="rId2"/>
    <sheet name="Rubric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<sst xmlns="http://schemas.openxmlformats.org/spreadsheetml/2006/main" count="177" uniqueCount="105">
  <si>
    <t>RepoPulse 朋友快评说明</t>
  </si>
  <si>
    <t/>
  </si>
  <si>
    <t>这份表用途</t>
  </si>
  <si>
    <t>从 2026-05-18 ai-builder 日报自动抽取 10 个项目，预留 20 行，方便朋友快速打分。</t>
  </si>
  <si>
    <t>建议耗时</t>
  </si>
  <si>
    <t>每位朋友只评 3 个项目即可，大约 10-15 分钟；愿意多评再补空白行。</t>
  </si>
  <si>
    <t>评分方式</t>
  </si>
  <si>
    <t>打开日报里的 GitHub 链接，结合报告内容快速核对 README、topics、release、metadata。</t>
  </si>
  <si>
    <t>1 分</t>
  </si>
  <si>
    <t>明显错误、不可信或完全不适合推荐。</t>
  </si>
  <si>
    <t>3 分</t>
  </si>
  <si>
    <t>基本可用，但证据、风险或画像匹配还有明显改进空间。</t>
  </si>
  <si>
    <t>5 分</t>
  </si>
  <si>
    <t>可信、具体、对判断是否深读很有帮助。</t>
  </si>
  <si>
    <t>主要问题</t>
  </si>
  <si>
    <t>只写一句话即可，例如：证据太泛、风险漏掉、摘要不准、推荐过强。</t>
  </si>
  <si>
    <t>给朋友的话</t>
  </si>
  <si>
    <t>不用读完整源码，也不用写长评。核心目标是判断：这份日报有没有帮你更快决定“值不值得点开深读”。</t>
  </si>
  <si>
    <t>序号</t>
  </si>
  <si>
    <t>仓库</t>
  </si>
  <si>
    <t>分层</t>
  </si>
  <si>
    <t>推荐等级</t>
  </si>
  <si>
    <t>链接</t>
  </si>
  <si>
    <t>一句话定位</t>
  </si>
  <si>
    <t>摘要准确
1-5</t>
  </si>
  <si>
    <t>证据质量
1-5</t>
  </si>
  <si>
    <t>分数合理
1-5</t>
  </si>
  <si>
    <t>阅读路径
1-5</t>
  </si>
  <si>
    <t>风险识别
1-5</t>
  </si>
  <si>
    <t>画像匹配
1-5</t>
  </si>
  <si>
    <t>是否推荐
是/观察/否</t>
  </si>
  <si>
    <t>评审人</t>
  </si>
  <si>
    <t>备注</t>
  </si>
  <si>
    <t>平均分</t>
  </si>
  <si>
    <t>状态</t>
  </si>
  <si>
    <t>langflow-ai/langflow</t>
  </si>
  <si>
    <t>今日最值得深读</t>
  </si>
  <si>
    <t>强推荐</t>
  </si>
  <si>
    <t>https://github.com/langflow-ai/langflow</t>
  </si>
  <si>
    <t>可视化构建与部署 AI 代理和低代码工作流平台</t>
  </si>
  <si>
    <t>rohitg00/agentmemory</t>
  </si>
  <si>
    <t>https://github.com/rohitg00/agentmemory</t>
  </si>
  <si>
    <t>为AI编码代理提供持久化记忆服务，支持MCP和多种代理。</t>
  </si>
  <si>
    <t>HKUDS/CLI-Anything</t>
  </si>
  <si>
    <t>值得观察</t>
  </si>
  <si>
    <t>https://github.com/HKUDS/CLI-Anything</t>
  </si>
  <si>
    <t>将任意软件转化为 AI Agent 可用的命令行接口框架</t>
  </si>
  <si>
    <t>K-Dense-AI/scientific-agent-skills</t>
  </si>
  <si>
    <t>上升很快，值得观察</t>
  </si>
  <si>
    <t>https://github.com/K-Dense-AI/scientific-agent-skills</t>
  </si>
  <si>
    <t>135个即用的科学Agent技能，覆盖多科研领域，兼容多AI代理。</t>
  </si>
  <si>
    <t>obra/superpowers</t>
  </si>
  <si>
    <t>https://github.com/obra/superpowers</t>
  </si>
  <si>
    <t>让编码代理遵循结构化开发方法的技能框架</t>
  </si>
  <si>
    <t>yikart/AiToEarn</t>
  </si>
  <si>
    <t>https://github.com/yikart/AiToEarn</t>
  </si>
  <si>
    <t>AiToEarn: 基于AI Agent的多平台内容营销与变现工具。</t>
  </si>
  <si>
    <t>Hmbown/DeepSeek-TUI</t>
  </si>
  <si>
    <t>https://github.com/Hmbown/DeepSeek-TUI</t>
  </si>
  <si>
    <t>DeepSeek 模型的终端编码代理</t>
  </si>
  <si>
    <t>Shubhamsaboo/awesome-llm-apps</t>
  </si>
  <si>
    <t>可转化为项目灵感</t>
  </si>
  <si>
    <t>项目灵感</t>
  </si>
  <si>
    <t>https://github.com/Shubhamsaboo/awesome-llm-apps</t>
  </si>
  <si>
    <t>可运行AI Agent与RAG应用模板集合，覆盖100+场景。</t>
  </si>
  <si>
    <t>Light-Heart-Labs/DreamServer</t>
  </si>
  <si>
    <t>https://github.com/Light-Heart-Labs/DreamServer</t>
  </si>
  <si>
    <t>一键部署本地AI全栈：LLM推理、聊天、语音、工作流等</t>
  </si>
  <si>
    <t>anthropics/skills</t>
  </si>
  <si>
    <t>https://github.com/anthropics/skills</t>
  </si>
  <si>
    <t>Anthropic的Agent Skills示例仓库，提供Claude可动态加载的技能指令与脚本。</t>
  </si>
  <si>
    <t>评分口径：每项 1-5 分</t>
  </si>
  <si>
    <t>维度</t>
  </si>
  <si>
    <t>摘要准确</t>
  </si>
  <si>
    <t>项目定位明显错误</t>
  </si>
  <si>
    <t>大体正确但不够准</t>
  </si>
  <si>
    <t>准确概括项目用途</t>
  </si>
  <si>
    <t>证据质量</t>
  </si>
  <si>
    <t>理由没有可核验证据</t>
  </si>
  <si>
    <t>有证据但比较泛</t>
  </si>
  <si>
    <t>证据具体，可回到 GitHub 核对</t>
  </si>
  <si>
    <t>分数合理</t>
  </si>
  <si>
    <t>明显高估或低估</t>
  </si>
  <si>
    <t>大致合理</t>
  </si>
  <si>
    <t>和人工判断高度一致</t>
  </si>
  <si>
    <t>阅读路径</t>
  </si>
  <si>
    <t>不具体、不可执行</t>
  </si>
  <si>
    <t>能提供方向</t>
  </si>
  <si>
    <t>步骤明确，能马上照做</t>
  </si>
  <si>
    <t>风险识别</t>
  </si>
  <si>
    <t>空泛或漏掉关键风险</t>
  </si>
  <si>
    <t>指出部分风险</t>
  </si>
  <si>
    <t>风险真实、具体、有帮助</t>
  </si>
  <si>
    <t>画像匹配</t>
  </si>
  <si>
    <t>和 AI Builder 画像关系弱</t>
  </si>
  <si>
    <t>有一定相关</t>
  </si>
  <si>
    <t>语言、topic、学习目标都匹配</t>
  </si>
  <si>
    <t>评测汇总</t>
  </si>
  <si>
    <t>已完成项目数</t>
  </si>
  <si>
    <t>平均总分</t>
  </si>
  <si>
    <t>推荐：是</t>
  </si>
  <si>
    <t>推荐：观察</t>
  </si>
  <si>
    <t>推荐：否</t>
  </si>
  <si>
    <t>使用建议</t>
  </si>
  <si>
    <t>先让每位朋友评 3 个项目；平均分低于 3.5 或“否”较多的项目，优先回看推荐理由、证据和风险。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</si>
</sst>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0F172A"/>
      <name val="Carlito"/>
      <charset val="134"/>
    </font>
    <font>
      <b/>
      <sz val="11"/>
      <name val="Carlito"/>
      <charset val="134"/>
    </font>
    <font>
      <sz val="11"/>
      <color rgb="FF1E3A8A"/>
      <name val="Carlito"/>
      <charset val="134"/>
    </font>
    <font>
      <b/>
      <sz val="11"/>
      <color rgb="FFFFFFFF"/>
      <name val="Carlito"/>
      <charset val="134"/>
    </font>
    <font>
      <sz val="11"/>
      <color rgb="FF2563EB"/>
      <name val="Carlito"/>
      <charset val="134"/>
    </font>
    <font>
      <b/>
      <sz val="11"/>
      <color rgb="FF065F4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horizontal="center"/>
    </xf>
    <xf numFmtId="0" fontId="4" fillId="5" borderId="0" xfId="49" applyNumberFormat="1" applyFont="1" applyFill="1" applyBorder="1" applyAlignment="1">
      <alignment wrapText="1"/>
    </xf>
    <xf numFmtId="0" fontId="5" fillId="6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6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horizontal="center" vertical="top" wrapText="1"/>
    </xf>
    <xf numFmtId="2" fontId="0" fillId="4" borderId="0" xfId="49" applyNumberFormat="1" applyFont="1" applyFill="1" applyBorder="1" applyAlignment="1">
      <alignment horizontal="center" vertical="top" wrapText="1"/>
    </xf>
    <xf numFmtId="0" fontId="0" fillId="4" borderId="0" xfId="49" applyNumberFormat="1" applyFont="1" applyFill="1" applyBorder="1" applyAlignment="1">
      <alignment horizontal="center" vertical="top" wrapText="1"/>
    </xf>
    <xf numFmtId="0" fontId="7" fillId="7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A1" sqref="A1"/>
    </sheetView>
  </sheetViews>
  <sheetFormatPr defaultColWidth="9" defaultRowHeight="14" outlineLevelCol="1"/>
  <cols>
    <col min="1" max="1" width="16.8166666666667" customWidth="1"/>
    <col min="2" max="2" width="101.616666666667" customWidth="1"/>
  </cols>
  <sheetData>
    <row r="1" ht="19" spans="1:2">
      <c r="A1" s="1" t="s">
        <v>0</v>
      </c>
      <c r="B1" s="1" t="s">
        <v>1</v>
      </c>
    </row>
    <row r="3" spans="1:2">
      <c r="A3" s="2" t="s">
        <v>2</v>
      </c>
      <c r="B3" s="6" t="s">
        <v>3</v>
      </c>
    </row>
    <row r="4" spans="1:2">
      <c r="A4" s="2" t="s">
        <v>4</v>
      </c>
      <c r="B4" s="6" t="s">
        <v>5</v>
      </c>
    </row>
    <row r="5" spans="1:2">
      <c r="A5" s="2" t="s">
        <v>6</v>
      </c>
      <c r="B5" s="6" t="s">
        <v>7</v>
      </c>
    </row>
    <row r="6" spans="1:2">
      <c r="A6" s="2" t="s">
        <v>8</v>
      </c>
      <c r="B6" s="6" t="s">
        <v>9</v>
      </c>
    </row>
    <row r="7" spans="1:2">
      <c r="A7" s="2" t="s">
        <v>10</v>
      </c>
      <c r="B7" s="6" t="s">
        <v>11</v>
      </c>
    </row>
    <row r="8" spans="1:2">
      <c r="A8" s="2" t="s">
        <v>12</v>
      </c>
      <c r="B8" s="6" t="s">
        <v>13</v>
      </c>
    </row>
    <row r="9" spans="1:2">
      <c r="A9" s="2" t="s">
        <v>14</v>
      </c>
      <c r="B9" s="6" t="s">
        <v>15</v>
      </c>
    </row>
    <row r="11" spans="1:2">
      <c r="A11" s="2" t="s">
        <v>16</v>
      </c>
      <c r="B11" s="11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showGridLines="0" zoomScale="85" zoomScaleNormal="85" topLeftCell="E1" workbookViewId="0">
      <selection activeCell="N22" sqref="N22"/>
    </sheetView>
  </sheetViews>
  <sheetFormatPr defaultColWidth="9" defaultRowHeight="14"/>
  <cols>
    <col min="1" max="1" width="6.33333333333333" customWidth="1"/>
    <col min="2" max="2" width="30.2833333333333" customWidth="1"/>
    <col min="3" max="3" width="19.5166666666667" customWidth="1"/>
    <col min="4" max="4" width="11.4416666666667" customWidth="1"/>
    <col min="5" max="5" width="41.05" customWidth="1"/>
    <col min="6" max="6" width="50.4666666666667" customWidth="1"/>
    <col min="7" max="12" width="9.55833333333333" customWidth="1"/>
    <col min="13" max="13" width="12.25" customWidth="1"/>
    <col min="14" max="14" width="34.3166666666667" customWidth="1"/>
    <col min="15" max="15" width="11.4416666666667" customWidth="1"/>
    <col min="16" max="16" width="22.2083333333333" customWidth="1"/>
    <col min="17" max="17" width="9.83333333333333" customWidth="1"/>
    <col min="18" max="18" width="10.3583333333333" customWidth="1"/>
  </cols>
  <sheetData>
    <row r="1" ht="28" spans="1:18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14</v>
      </c>
      <c r="O1" s="5" t="s">
        <v>31</v>
      </c>
      <c r="P1" s="5" t="s">
        <v>32</v>
      </c>
      <c r="Q1" s="5" t="s">
        <v>33</v>
      </c>
      <c r="R1" s="5" t="s">
        <v>34</v>
      </c>
    </row>
    <row r="2" spans="1:18">
      <c r="A2" s="6">
        <v>1</v>
      </c>
      <c r="B2" s="6" t="s">
        <v>35</v>
      </c>
      <c r="C2" s="6" t="s">
        <v>36</v>
      </c>
      <c r="D2" s="6" t="s">
        <v>37</v>
      </c>
      <c r="E2" s="7" t="s">
        <v>38</v>
      </c>
      <c r="F2" s="6" t="s">
        <v>39</v>
      </c>
      <c r="G2" s="8"/>
      <c r="H2" s="8"/>
      <c r="I2" s="8"/>
      <c r="J2" s="8"/>
      <c r="K2" s="8"/>
      <c r="L2" s="8"/>
      <c r="M2" s="8"/>
      <c r="N2" s="6"/>
      <c r="O2" s="6"/>
      <c r="P2" s="6"/>
      <c r="Q2" s="9" t="str">
        <f t="shared" ref="Q2:Q21" si="0">IF(COUNT(G2:L2)=0,"",ROUND(AVERAGE(G2:L2),2))</f>
        <v/>
      </c>
      <c r="R2" s="10" t="str">
        <f t="shared" ref="R2:R21" si="1">IF(COUNT(G2:L2)=6,"已完成","待评分")</f>
        <v>待评分</v>
      </c>
    </row>
    <row r="3" spans="1:18">
      <c r="A3" s="6">
        <v>2</v>
      </c>
      <c r="B3" s="6" t="s">
        <v>40</v>
      </c>
      <c r="C3" s="6" t="s">
        <v>36</v>
      </c>
      <c r="D3" s="6" t="s">
        <v>37</v>
      </c>
      <c r="E3" s="7" t="s">
        <v>41</v>
      </c>
      <c r="F3" s="6" t="s">
        <v>42</v>
      </c>
      <c r="G3" s="8"/>
      <c r="H3" s="8"/>
      <c r="I3" s="8"/>
      <c r="J3" s="8"/>
      <c r="K3" s="8"/>
      <c r="L3" s="8"/>
      <c r="M3" s="8"/>
      <c r="N3" s="6"/>
      <c r="O3" s="6"/>
      <c r="P3" s="6"/>
      <c r="Q3" s="9" t="str">
        <f t="shared" si="0"/>
        <v/>
      </c>
      <c r="R3" s="10" t="str">
        <f t="shared" si="1"/>
        <v>待评分</v>
      </c>
    </row>
    <row r="4" spans="1:18">
      <c r="A4" s="6">
        <v>3</v>
      </c>
      <c r="B4" s="6" t="s">
        <v>43</v>
      </c>
      <c r="C4" s="6" t="s">
        <v>36</v>
      </c>
      <c r="D4" s="6" t="s">
        <v>44</v>
      </c>
      <c r="E4" s="7" t="s">
        <v>45</v>
      </c>
      <c r="F4" s="6" t="s">
        <v>46</v>
      </c>
      <c r="G4" s="8"/>
      <c r="H4" s="8"/>
      <c r="I4" s="8"/>
      <c r="J4" s="8"/>
      <c r="K4" s="8"/>
      <c r="L4" s="8"/>
      <c r="M4" s="8"/>
      <c r="N4" s="6"/>
      <c r="O4" s="6"/>
      <c r="P4" s="6"/>
      <c r="Q4" s="9" t="str">
        <f t="shared" si="0"/>
        <v/>
      </c>
      <c r="R4" s="10" t="str">
        <f t="shared" si="1"/>
        <v>待评分</v>
      </c>
    </row>
    <row r="5" ht="28" spans="1:18">
      <c r="A5" s="6">
        <v>4</v>
      </c>
      <c r="B5" s="6" t="s">
        <v>47</v>
      </c>
      <c r="C5" s="6" t="s">
        <v>48</v>
      </c>
      <c r="D5" s="6" t="s">
        <v>44</v>
      </c>
      <c r="E5" s="7" t="s">
        <v>49</v>
      </c>
      <c r="F5" s="6" t="s">
        <v>50</v>
      </c>
      <c r="G5" s="8"/>
      <c r="H5" s="8"/>
      <c r="I5" s="8"/>
      <c r="J5" s="8"/>
      <c r="K5" s="8"/>
      <c r="L5" s="8"/>
      <c r="M5" s="8"/>
      <c r="N5" s="6"/>
      <c r="O5" s="6"/>
      <c r="P5" s="6"/>
      <c r="Q5" s="9" t="str">
        <f t="shared" si="0"/>
        <v/>
      </c>
      <c r="R5" s="10" t="str">
        <f t="shared" si="1"/>
        <v>待评分</v>
      </c>
    </row>
    <row r="6" spans="1:18">
      <c r="A6" s="6">
        <v>5</v>
      </c>
      <c r="B6" s="6" t="s">
        <v>51</v>
      </c>
      <c r="C6" s="6" t="s">
        <v>48</v>
      </c>
      <c r="D6" s="6" t="s">
        <v>44</v>
      </c>
      <c r="E6" s="7" t="s">
        <v>52</v>
      </c>
      <c r="F6" s="6" t="s">
        <v>53</v>
      </c>
      <c r="G6" s="8"/>
      <c r="H6" s="8"/>
      <c r="I6" s="8"/>
      <c r="J6" s="8"/>
      <c r="K6" s="8"/>
      <c r="L6" s="8"/>
      <c r="M6" s="8"/>
      <c r="N6" s="6"/>
      <c r="O6" s="6"/>
      <c r="P6" s="6"/>
      <c r="Q6" s="9" t="str">
        <f t="shared" si="0"/>
        <v/>
      </c>
      <c r="R6" s="10" t="str">
        <f t="shared" si="1"/>
        <v>待评分</v>
      </c>
    </row>
    <row r="7" spans="1:18">
      <c r="A7" s="6">
        <v>6</v>
      </c>
      <c r="B7" s="6" t="s">
        <v>54</v>
      </c>
      <c r="C7" s="6" t="s">
        <v>48</v>
      </c>
      <c r="D7" s="6" t="s">
        <v>44</v>
      </c>
      <c r="E7" s="7" t="s">
        <v>55</v>
      </c>
      <c r="F7" s="6" t="s">
        <v>56</v>
      </c>
      <c r="G7" s="8"/>
      <c r="H7" s="8"/>
      <c r="I7" s="8"/>
      <c r="J7" s="8"/>
      <c r="K7" s="8"/>
      <c r="L7" s="8"/>
      <c r="M7" s="8"/>
      <c r="N7" s="6"/>
      <c r="O7" s="6"/>
      <c r="P7" s="6"/>
      <c r="Q7" s="9" t="str">
        <f t="shared" si="0"/>
        <v/>
      </c>
      <c r="R7" s="10" t="str">
        <f t="shared" si="1"/>
        <v>待评分</v>
      </c>
    </row>
    <row r="8" spans="1:18">
      <c r="A8" s="6">
        <v>7</v>
      </c>
      <c r="B8" s="6" t="s">
        <v>57</v>
      </c>
      <c r="C8" s="6" t="s">
        <v>48</v>
      </c>
      <c r="D8" s="6" t="s">
        <v>44</v>
      </c>
      <c r="E8" s="7" t="s">
        <v>58</v>
      </c>
      <c r="F8" s="6" t="s">
        <v>59</v>
      </c>
      <c r="G8" s="8"/>
      <c r="H8" s="8"/>
      <c r="I8" s="8"/>
      <c r="J8" s="8"/>
      <c r="K8" s="8"/>
      <c r="L8" s="8"/>
      <c r="M8" s="8"/>
      <c r="N8" s="6"/>
      <c r="O8" s="6"/>
      <c r="P8" s="6"/>
      <c r="Q8" s="9" t="str">
        <f t="shared" si="0"/>
        <v/>
      </c>
      <c r="R8" s="10" t="str">
        <f t="shared" si="1"/>
        <v>待评分</v>
      </c>
    </row>
    <row r="9" ht="28" spans="1:18">
      <c r="A9" s="6">
        <v>8</v>
      </c>
      <c r="B9" s="6" t="s">
        <v>60</v>
      </c>
      <c r="C9" s="6" t="s">
        <v>61</v>
      </c>
      <c r="D9" s="6" t="s">
        <v>62</v>
      </c>
      <c r="E9" s="7" t="s">
        <v>63</v>
      </c>
      <c r="F9" s="6" t="s">
        <v>64</v>
      </c>
      <c r="G9" s="8"/>
      <c r="H9" s="8"/>
      <c r="I9" s="8"/>
      <c r="J9" s="8"/>
      <c r="K9" s="8"/>
      <c r="L9" s="8"/>
      <c r="M9" s="8"/>
      <c r="N9" s="6"/>
      <c r="O9" s="6"/>
      <c r="P9" s="6"/>
      <c r="Q9" s="9" t="str">
        <f t="shared" si="0"/>
        <v/>
      </c>
      <c r="R9" s="10" t="str">
        <f t="shared" si="1"/>
        <v>待评分</v>
      </c>
    </row>
    <row r="10" spans="1:18">
      <c r="A10" s="6">
        <v>9</v>
      </c>
      <c r="B10" s="6" t="s">
        <v>65</v>
      </c>
      <c r="C10" s="6" t="s">
        <v>61</v>
      </c>
      <c r="D10" s="6" t="s">
        <v>62</v>
      </c>
      <c r="E10" s="7" t="s">
        <v>66</v>
      </c>
      <c r="F10" s="6" t="s">
        <v>67</v>
      </c>
      <c r="G10" s="8"/>
      <c r="H10" s="8"/>
      <c r="I10" s="8"/>
      <c r="J10" s="8"/>
      <c r="K10" s="8"/>
      <c r="L10" s="8"/>
      <c r="M10" s="8"/>
      <c r="N10" s="6"/>
      <c r="O10" s="6"/>
      <c r="P10" s="6"/>
      <c r="Q10" s="9" t="str">
        <f t="shared" si="0"/>
        <v/>
      </c>
      <c r="R10" s="10" t="str">
        <f t="shared" si="1"/>
        <v>待评分</v>
      </c>
    </row>
    <row r="11" ht="28" spans="1:18">
      <c r="A11" s="6">
        <v>10</v>
      </c>
      <c r="B11" s="6" t="s">
        <v>68</v>
      </c>
      <c r="C11" s="6" t="s">
        <v>61</v>
      </c>
      <c r="D11" s="6" t="s">
        <v>62</v>
      </c>
      <c r="E11" s="7" t="s">
        <v>69</v>
      </c>
      <c r="F11" s="6" t="s">
        <v>70</v>
      </c>
      <c r="G11" s="8"/>
      <c r="H11" s="8"/>
      <c r="I11" s="8"/>
      <c r="J11" s="8"/>
      <c r="K11" s="8"/>
      <c r="L11" s="8"/>
      <c r="M11" s="8"/>
      <c r="N11" s="6"/>
      <c r="O11" s="6"/>
      <c r="P11" s="6"/>
      <c r="Q11" s="9" t="str">
        <f t="shared" si="0"/>
        <v/>
      </c>
      <c r="R11" s="10" t="str">
        <f t="shared" si="1"/>
        <v>待评分</v>
      </c>
    </row>
    <row r="12" spans="1:18">
      <c r="A12" s="6">
        <v>11</v>
      </c>
      <c r="B12" s="6" t="s">
        <v>1</v>
      </c>
      <c r="C12" s="6" t="s">
        <v>1</v>
      </c>
      <c r="D12" s="6" t="s">
        <v>1</v>
      </c>
      <c r="E12" s="7" t="s">
        <v>1</v>
      </c>
      <c r="F12" s="6" t="s">
        <v>1</v>
      </c>
      <c r="G12" s="8"/>
      <c r="H12" s="8"/>
      <c r="I12" s="8"/>
      <c r="J12" s="8"/>
      <c r="K12" s="8"/>
      <c r="L12" s="8"/>
      <c r="M12" s="8"/>
      <c r="N12" s="6"/>
      <c r="O12" s="6"/>
      <c r="P12" s="6"/>
      <c r="Q12" s="9" t="str">
        <f t="shared" si="0"/>
        <v/>
      </c>
      <c r="R12" s="10" t="str">
        <f t="shared" si="1"/>
        <v>待评分</v>
      </c>
    </row>
    <row r="13" spans="1:18">
      <c r="A13" s="6">
        <v>12</v>
      </c>
      <c r="B13" s="6" t="s">
        <v>1</v>
      </c>
      <c r="C13" s="6" t="s">
        <v>1</v>
      </c>
      <c r="D13" s="6" t="s">
        <v>1</v>
      </c>
      <c r="E13" s="7" t="s">
        <v>1</v>
      </c>
      <c r="F13" s="6" t="s">
        <v>1</v>
      </c>
      <c r="G13" s="8"/>
      <c r="H13" s="8"/>
      <c r="I13" s="8"/>
      <c r="J13" s="8"/>
      <c r="K13" s="8"/>
      <c r="L13" s="8"/>
      <c r="M13" s="8"/>
      <c r="N13" s="6"/>
      <c r="O13" s="6"/>
      <c r="P13" s="6"/>
      <c r="Q13" s="9" t="str">
        <f t="shared" si="0"/>
        <v/>
      </c>
      <c r="R13" s="10" t="str">
        <f t="shared" si="1"/>
        <v>待评分</v>
      </c>
    </row>
    <row r="14" spans="1:18">
      <c r="A14" s="6">
        <v>13</v>
      </c>
      <c r="B14" s="6" t="s">
        <v>1</v>
      </c>
      <c r="C14" s="6" t="s">
        <v>1</v>
      </c>
      <c r="D14" s="6" t="s">
        <v>1</v>
      </c>
      <c r="E14" s="7" t="s">
        <v>1</v>
      </c>
      <c r="F14" s="6" t="s">
        <v>1</v>
      </c>
      <c r="G14" s="8"/>
      <c r="H14" s="8"/>
      <c r="I14" s="8"/>
      <c r="J14" s="8"/>
      <c r="K14" s="8"/>
      <c r="L14" s="8"/>
      <c r="M14" s="8"/>
      <c r="N14" s="6"/>
      <c r="O14" s="6"/>
      <c r="P14" s="6"/>
      <c r="Q14" s="9" t="str">
        <f t="shared" si="0"/>
        <v/>
      </c>
      <c r="R14" s="10" t="str">
        <f t="shared" si="1"/>
        <v>待评分</v>
      </c>
    </row>
    <row r="15" spans="1:18">
      <c r="A15" s="6">
        <v>14</v>
      </c>
      <c r="B15" s="6" t="s">
        <v>1</v>
      </c>
      <c r="C15" s="6" t="s">
        <v>1</v>
      </c>
      <c r="D15" s="6" t="s">
        <v>1</v>
      </c>
      <c r="E15" s="7" t="s">
        <v>1</v>
      </c>
      <c r="F15" s="6" t="s">
        <v>1</v>
      </c>
      <c r="G15" s="8"/>
      <c r="H15" s="8"/>
      <c r="I15" s="8"/>
      <c r="J15" s="8"/>
      <c r="K15" s="8"/>
      <c r="L15" s="8"/>
      <c r="M15" s="8"/>
      <c r="N15" s="6"/>
      <c r="O15" s="6"/>
      <c r="P15" s="6"/>
      <c r="Q15" s="9" t="str">
        <f t="shared" si="0"/>
        <v/>
      </c>
      <c r="R15" s="10" t="str">
        <f t="shared" si="1"/>
        <v>待评分</v>
      </c>
    </row>
    <row r="16" spans="1:18">
      <c r="A16" s="6">
        <v>15</v>
      </c>
      <c r="B16" s="6" t="s">
        <v>1</v>
      </c>
      <c r="C16" s="6" t="s">
        <v>1</v>
      </c>
      <c r="D16" s="6" t="s">
        <v>1</v>
      </c>
      <c r="E16" s="7" t="s">
        <v>1</v>
      </c>
      <c r="F16" s="6" t="s">
        <v>1</v>
      </c>
      <c r="G16" s="8"/>
      <c r="H16" s="8"/>
      <c r="I16" s="8"/>
      <c r="J16" s="8"/>
      <c r="K16" s="8"/>
      <c r="L16" s="8"/>
      <c r="M16" s="8"/>
      <c r="N16" s="6"/>
      <c r="O16" s="6"/>
      <c r="P16" s="6"/>
      <c r="Q16" s="9" t="str">
        <f t="shared" si="0"/>
        <v/>
      </c>
      <c r="R16" s="10" t="str">
        <f t="shared" si="1"/>
        <v>待评分</v>
      </c>
    </row>
    <row r="17" spans="1:18">
      <c r="A17" s="6">
        <v>16</v>
      </c>
      <c r="B17" s="6" t="s">
        <v>1</v>
      </c>
      <c r="C17" s="6" t="s">
        <v>1</v>
      </c>
      <c r="D17" s="6" t="s">
        <v>1</v>
      </c>
      <c r="E17" s="7" t="s">
        <v>1</v>
      </c>
      <c r="F17" s="6" t="s">
        <v>1</v>
      </c>
      <c r="G17" s="8"/>
      <c r="H17" s="8"/>
      <c r="I17" s="8"/>
      <c r="J17" s="8"/>
      <c r="K17" s="8"/>
      <c r="L17" s="8"/>
      <c r="M17" s="8"/>
      <c r="N17" s="6"/>
      <c r="O17" s="6"/>
      <c r="P17" s="6"/>
      <c r="Q17" s="9" t="str">
        <f t="shared" si="0"/>
        <v/>
      </c>
      <c r="R17" s="10" t="str">
        <f t="shared" si="1"/>
        <v>待评分</v>
      </c>
    </row>
    <row r="18" spans="1:18">
      <c r="A18" s="6">
        <v>17</v>
      </c>
      <c r="B18" s="6" t="s">
        <v>1</v>
      </c>
      <c r="C18" s="6" t="s">
        <v>1</v>
      </c>
      <c r="D18" s="6" t="s">
        <v>1</v>
      </c>
      <c r="E18" s="7" t="s">
        <v>1</v>
      </c>
      <c r="F18" s="6" t="s">
        <v>1</v>
      </c>
      <c r="G18" s="8"/>
      <c r="H18" s="8"/>
      <c r="I18" s="8"/>
      <c r="J18" s="8"/>
      <c r="K18" s="8"/>
      <c r="L18" s="8"/>
      <c r="M18" s="8"/>
      <c r="N18" s="6"/>
      <c r="O18" s="6"/>
      <c r="P18" s="6"/>
      <c r="Q18" s="9" t="str">
        <f t="shared" si="0"/>
        <v/>
      </c>
      <c r="R18" s="10" t="str">
        <f t="shared" si="1"/>
        <v>待评分</v>
      </c>
    </row>
    <row r="19" spans="1:18">
      <c r="A19" s="6">
        <v>18</v>
      </c>
      <c r="B19" s="6" t="s">
        <v>1</v>
      </c>
      <c r="C19" s="6" t="s">
        <v>1</v>
      </c>
      <c r="D19" s="6" t="s">
        <v>1</v>
      </c>
      <c r="E19" s="7" t="s">
        <v>1</v>
      </c>
      <c r="F19" s="6" t="s">
        <v>1</v>
      </c>
      <c r="G19" s="8"/>
      <c r="H19" s="8"/>
      <c r="I19" s="8"/>
      <c r="J19" s="8"/>
      <c r="K19" s="8"/>
      <c r="L19" s="8"/>
      <c r="M19" s="8"/>
      <c r="N19" s="6"/>
      <c r="O19" s="6"/>
      <c r="P19" s="6"/>
      <c r="Q19" s="9" t="str">
        <f t="shared" si="0"/>
        <v/>
      </c>
      <c r="R19" s="10" t="str">
        <f t="shared" si="1"/>
        <v>待评分</v>
      </c>
    </row>
    <row r="20" spans="1:18">
      <c r="A20" s="6">
        <v>19</v>
      </c>
      <c r="B20" s="6" t="s">
        <v>1</v>
      </c>
      <c r="C20" s="6" t="s">
        <v>1</v>
      </c>
      <c r="D20" s="6" t="s">
        <v>1</v>
      </c>
      <c r="E20" s="7" t="s">
        <v>1</v>
      </c>
      <c r="F20" s="6" t="s">
        <v>1</v>
      </c>
      <c r="G20" s="8"/>
      <c r="H20" s="8"/>
      <c r="I20" s="8"/>
      <c r="J20" s="8"/>
      <c r="K20" s="8"/>
      <c r="L20" s="8"/>
      <c r="M20" s="8"/>
      <c r="N20" s="6"/>
      <c r="O20" s="6"/>
      <c r="P20" s="6"/>
      <c r="Q20" s="9" t="str">
        <f t="shared" si="0"/>
        <v/>
      </c>
      <c r="R20" s="10" t="str">
        <f t="shared" si="1"/>
        <v>待评分</v>
      </c>
    </row>
    <row r="21" spans="1:18">
      <c r="A21" s="6">
        <v>20</v>
      </c>
      <c r="B21" s="6" t="s">
        <v>1</v>
      </c>
      <c r="C21" s="6" t="s">
        <v>1</v>
      </c>
      <c r="D21" s="6" t="s">
        <v>1</v>
      </c>
      <c r="E21" s="7" t="s">
        <v>1</v>
      </c>
      <c r="F21" s="6" t="s">
        <v>1</v>
      </c>
      <c r="G21" s="8"/>
      <c r="H21" s="8"/>
      <c r="I21" s="8"/>
      <c r="J21" s="8"/>
      <c r="K21" s="8"/>
      <c r="L21" s="8"/>
      <c r="M21" s="8"/>
      <c r="N21" s="6"/>
      <c r="O21" s="6"/>
      <c r="P21" s="6"/>
      <c r="Q21" s="9" t="str">
        <f t="shared" si="0"/>
        <v/>
      </c>
      <c r="R21" s="10" t="str">
        <f t="shared" si="1"/>
        <v>待评分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tabSelected="1" workbookViewId="0">
      <selection activeCell="A19" sqref="A19"/>
    </sheetView>
  </sheetViews>
  <sheetFormatPr defaultColWidth="9" defaultRowHeight="14" outlineLevelCol="3"/>
  <cols>
    <col min="1" max="1" width="47.0833333333333" customWidth="1"/>
    <col min="2" max="3" width="30.2833333333333" customWidth="1"/>
    <col min="4" max="4" width="35.6666666666667" customWidth="1"/>
  </cols>
  <sheetData>
    <row r="1" ht="19" spans="1:4">
      <c r="A1" s="1" t="s">
        <v>71</v>
      </c>
      <c r="B1" s="1" t="s">
        <v>1</v>
      </c>
      <c r="C1" s="1" t="s">
        <v>1</v>
      </c>
      <c r="D1" s="1" t="s">
        <v>1</v>
      </c>
    </row>
    <row r="3" spans="1:4">
      <c r="A3" s="5" t="s">
        <v>72</v>
      </c>
      <c r="B3" s="5" t="s">
        <v>8</v>
      </c>
      <c r="C3" s="5" t="s">
        <v>10</v>
      </c>
      <c r="D3" s="5" t="s">
        <v>12</v>
      </c>
    </row>
    <row r="4" spans="1:4">
      <c r="A4" s="2" t="s">
        <v>73</v>
      </c>
      <c r="B4" s="6" t="s">
        <v>74</v>
      </c>
      <c r="C4" s="6" t="s">
        <v>75</v>
      </c>
      <c r="D4" s="6" t="s">
        <v>76</v>
      </c>
    </row>
    <row r="5" spans="1:4">
      <c r="A5" s="2" t="s">
        <v>77</v>
      </c>
      <c r="B5" s="6" t="s">
        <v>78</v>
      </c>
      <c r="C5" s="6" t="s">
        <v>79</v>
      </c>
      <c r="D5" s="6" t="s">
        <v>80</v>
      </c>
    </row>
    <row r="6" spans="1:4">
      <c r="A6" s="2" t="s">
        <v>81</v>
      </c>
      <c r="B6" s="6" t="s">
        <v>82</v>
      </c>
      <c r="C6" s="6" t="s">
        <v>83</v>
      </c>
      <c r="D6" s="6" t="s">
        <v>84</v>
      </c>
    </row>
    <row r="7" spans="1:4">
      <c r="A7" s="2" t="s">
        <v>85</v>
      </c>
      <c r="B7" s="6" t="s">
        <v>86</v>
      </c>
      <c r="C7" s="6" t="s">
        <v>87</v>
      </c>
      <c r="D7" s="6" t="s">
        <v>88</v>
      </c>
    </row>
    <row r="8" spans="1:4">
      <c r="A8" s="2" t="s">
        <v>89</v>
      </c>
      <c r="B8" s="6" t="s">
        <v>90</v>
      </c>
      <c r="C8" s="6" t="s">
        <v>91</v>
      </c>
      <c r="D8" s="6" t="s">
        <v>92</v>
      </c>
    </row>
    <row r="9" spans="1:4">
      <c r="A9" s="2" t="s">
        <v>93</v>
      </c>
      <c r="B9" s="6" t="s">
        <v>94</v>
      </c>
      <c r="C9" s="6" t="s">
        <v>95</v>
      </c>
      <c r="D9" s="6" t="s">
        <v>96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1" sqref="A1"/>
    </sheetView>
  </sheetViews>
  <sheetFormatPr defaultColWidth="9" defaultRowHeight="14" outlineLevelRow="7" outlineLevelCol="1"/>
  <cols>
    <col min="1" max="1" width="19.5166666666667" customWidth="1"/>
    <col min="2" max="2" width="86.8083333333333" customWidth="1"/>
  </cols>
  <sheetData>
    <row r="1" ht="19" spans="1:2">
      <c r="A1" s="1" t="s">
        <v>97</v>
      </c>
      <c r="B1" s="1" t="s">
        <v>1</v>
      </c>
    </row>
    <row r="3" spans="1:2">
      <c r="A3" s="2" t="s">
        <v>98</v>
      </c>
      <c r="B3" s="3">
        <f>COUNTIF(Review!R2:R21,"已完成")</f>
        <v>0</v>
      </c>
    </row>
    <row r="4" spans="1:2">
      <c r="A4" s="2" t="s">
        <v>99</v>
      </c>
      <c r="B4" s="3" t="str">
        <f>IFERROR(ROUND(AVERAGE(Review!Q2:Q21),2),"")</f>
        <v/>
      </c>
    </row>
    <row r="5" spans="1:2">
      <c r="A5" s="2" t="s">
        <v>100</v>
      </c>
      <c r="B5" s="3">
        <f>COUNTIF(Review!M2:M21,"是")</f>
        <v>0</v>
      </c>
    </row>
    <row r="6" spans="1:2">
      <c r="A6" s="2" t="s">
        <v>101</v>
      </c>
      <c r="B6" s="3">
        <f>COUNTIF(Review!M2:M21,"观察")</f>
        <v>0</v>
      </c>
    </row>
    <row r="7" spans="1:2">
      <c r="A7" s="2" t="s">
        <v>102</v>
      </c>
      <c r="B7" s="3">
        <f>COUNTIF(Review!M2:M21,"否")</f>
        <v>0</v>
      </c>
    </row>
    <row r="8" spans="1:2">
      <c r="A8" s="2" t="s">
        <v>103</v>
      </c>
      <c r="B8" s="4" t="s">
        <v>104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Guide</vt:lpstr>
      <vt:lpstr>Review</vt:lpstr>
      <vt:lpstr>Rubric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青山</cp:lastModifiedBy>
  <dcterms:created xsi:type="dcterms:W3CDTF">2026-05-18T10:13:12Z</dcterms:created>
  <dcterms:modified xsi:type="dcterms:W3CDTF">2026-05-18T10:17:20Z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B8F9FE6DBC1B45BABB76FA32C6503725_12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